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ed Cost" sheetId="1" state="visible" r:id="rId3"/>
    <sheet name="Unit Economics" sheetId="2" state="visible" r:id="rId4"/>
    <sheet name="Monthly P&amp;L" sheetId="3" state="visible" r:id="rId5"/>
    <sheet name="KPI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<sst xmlns="http://schemas.openxmlformats.org/spreadsheetml/2006/main" count="113" uniqueCount="110">
  <si>
    <t xml:space="preserve">LANDED COST CALCULATOR</t>
  </si>
  <si>
    <t xml:space="preserve">True per-unit cost of imported goods (China -&gt; South Africa). Blue cells = your inputs.</t>
  </si>
  <si>
    <t xml:space="preserve">INPUTS  (edit the blue cells)</t>
  </si>
  <si>
    <t xml:space="preserve">Units per shipment</t>
  </si>
  <si>
    <t xml:space="preserve">Supplier unit cost (CNY / yuan)</t>
  </si>
  <si>
    <t xml:space="preserve">From 1688 incl. China domestic freight + agent</t>
  </si>
  <si>
    <t xml:space="preserve">FX rate (ZAR per 1 CNY)</t>
  </si>
  <si>
    <t xml:space="preserve">Use the rate you actually pay incl. bank spread</t>
  </si>
  <si>
    <t xml:space="preserve">International freight - total (ZAR)</t>
  </si>
  <si>
    <t xml:space="preserve">Sea = cheap/slow; air = fast/expensive</t>
  </si>
  <si>
    <t xml:space="preserve">Marine insurance (% of supplier+freight)</t>
  </si>
  <si>
    <t xml:space="preserve">~0.3-0.5% of CIF</t>
  </si>
  <si>
    <t xml:space="preserve">Customs duty rate (%)</t>
  </si>
  <si>
    <t xml:space="preserve">VARIES BY HS CODE 0-45%+. CONFIRM with clearing agent</t>
  </si>
  <si>
    <t xml:space="preserve">Clearing &amp; forwarding - total (ZAR)</t>
  </si>
  <si>
    <t xml:space="preserve">Agent fee, SAD500, port handling</t>
  </si>
  <si>
    <t xml:space="preserve">Inland transport port-&gt;warehouse (ZAR)</t>
  </si>
  <si>
    <t xml:space="preserve">CALCULATION</t>
  </si>
  <si>
    <t xml:space="preserve">Supplier cost - total (ZAR)</t>
  </si>
  <si>
    <t xml:space="preserve">International freight (ZAR)</t>
  </si>
  <si>
    <t xml:space="preserve">Marine insurance (ZAR)</t>
  </si>
  <si>
    <t xml:space="preserve">CIF / Customs Value (ZAR)</t>
  </si>
  <si>
    <t xml:space="preserve">Cost+Insurance+Freight</t>
  </si>
  <si>
    <t xml:space="preserve">Added Tax Value base (Customs +10%)</t>
  </si>
  <si>
    <t xml:space="preserve">+10% uplift: China is outside SACU</t>
  </si>
  <si>
    <t xml:space="preserve">Customs duty (ZAR)</t>
  </si>
  <si>
    <t xml:space="preserve">Customs value x duty rate</t>
  </si>
  <si>
    <t xml:space="preserve">Import VAT 15% (ZAR)</t>
  </si>
  <si>
    <t xml:space="preserve">(ATV + duty) x 15%</t>
  </si>
  <si>
    <t xml:space="preserve">Clearing &amp; forwarding (ZAR)</t>
  </si>
  <si>
    <t xml:space="preserve">Inland transport (ZAR)</t>
  </si>
  <si>
    <t xml:space="preserve">TOTAL LANDED COST - shipment (ZAR)</t>
  </si>
  <si>
    <t xml:space="preserve">LANDED COST PER UNIT (ZAR)</t>
  </si>
  <si>
    <t xml:space="preserve">&lt;&lt; use this as COGS</t>
  </si>
  <si>
    <t xml:space="preserve">NOTE: You are NOT VAT-registered, so the Import VAT (row 21) is a PERMANENT sunk cost in your COGS - you cannot claim it back.</t>
  </si>
  <si>
    <t xml:space="preserve">UNIT ECONOMICS</t>
  </si>
  <si>
    <t xml:space="preserve">Per-order profitability. Target contribution margin &gt; 35%.</t>
  </si>
  <si>
    <t xml:space="preserve">INPUTS</t>
  </si>
  <si>
    <t xml:space="preserve">Selling price per order (ZAR, incl)</t>
  </si>
  <si>
    <t xml:space="preserve">Landed cost per unit (ZAR)</t>
  </si>
  <si>
    <t xml:space="preserve">Linked from Landed Cost sheet</t>
  </si>
  <si>
    <t xml:space="preserve">Delivery to customer per order (ZAR)</t>
  </si>
  <si>
    <t xml:space="preserve">Courier last-mile</t>
  </si>
  <si>
    <t xml:space="preserve">PayFast fee - % of price</t>
  </si>
  <si>
    <t xml:space="preserve">3.2% card (PayFast 2026)</t>
  </si>
  <si>
    <t xml:space="preserve">PayFast fee - fixed per txn (ZAR)</t>
  </si>
  <si>
    <t xml:space="preserve">+ R2.00 per transaction</t>
  </si>
  <si>
    <t xml:space="preserve">Packaging per order (ZAR)</t>
  </si>
  <si>
    <t xml:space="preserve">Returns/refund allowance (% of price)</t>
  </si>
  <si>
    <t xml:space="preserve">CAC - ad cost per order (ZAR)</t>
  </si>
  <si>
    <t xml:space="preserve">Customer acquisition cost</t>
  </si>
  <si>
    <t xml:space="preserve">CONTRIBUTION &amp; BREAK-EVEN</t>
  </si>
  <si>
    <t xml:space="preserve">PayFast fee total (ZAR)</t>
  </si>
  <si>
    <t xml:space="preserve">Returns allowance (ZAR)</t>
  </si>
  <si>
    <t xml:space="preserve">Total variable cost per order (ZAR)</t>
  </si>
  <si>
    <t xml:space="preserve">Landed+delivery+PayFast+packaging+returns</t>
  </si>
  <si>
    <t xml:space="preserve">Contribution margin per order (ZAR)</t>
  </si>
  <si>
    <t xml:space="preserve">Before CAC</t>
  </si>
  <si>
    <t xml:space="preserve">Contribution margin %</t>
  </si>
  <si>
    <t xml:space="preserve">Target &gt; 35%</t>
  </si>
  <si>
    <t xml:space="preserve">Break-even ROAS</t>
  </si>
  <si>
    <t xml:space="preserve">Ad spend efficiency needed to break even</t>
  </si>
  <si>
    <t xml:space="preserve">Profit per order after CAC (ZAR)</t>
  </si>
  <si>
    <t xml:space="preserve">True profit per sale</t>
  </si>
  <si>
    <t xml:space="preserve">Profit margin after CAC %</t>
  </si>
  <si>
    <t xml:space="preserve">MONTHLY MANAGEMENT P&amp;L</t>
  </si>
  <si>
    <t xml:space="preserve">Fill actuals each month. Reconcile to Xero + Nedbank + PayFast.</t>
  </si>
  <si>
    <t xml:space="preserve">Month 1</t>
  </si>
  <si>
    <t xml:space="preserve">Month 2</t>
  </si>
  <si>
    <t xml:space="preserve">Month 3</t>
  </si>
  <si>
    <t xml:space="preserve">Units sold</t>
  </si>
  <si>
    <t xml:space="preserve">Gross revenue (ZAR)</t>
  </si>
  <si>
    <t xml:space="preserve">less: PayFast fees</t>
  </si>
  <si>
    <t xml:space="preserve">Net revenue</t>
  </si>
  <si>
    <t xml:space="preserve">less: Landed COGS</t>
  </si>
  <si>
    <t xml:space="preserve">GROSS PROFIT</t>
  </si>
  <si>
    <t xml:space="preserve">Gross margin %</t>
  </si>
  <si>
    <t xml:space="preserve">less: Delivery (last-mile)</t>
  </si>
  <si>
    <t xml:space="preserve">less: Packaging</t>
  </si>
  <si>
    <t xml:space="preserve">less: Ad spend (CAC)</t>
  </si>
  <si>
    <t xml:space="preserve">less: Software (Xero etc.)</t>
  </si>
  <si>
    <t xml:space="preserve">less: Other operating</t>
  </si>
  <si>
    <t xml:space="preserve">OPERATING PROFIT</t>
  </si>
  <si>
    <t xml:space="preserve">Operating margin %</t>
  </si>
  <si>
    <t xml:space="preserve">KPI DASHBOARD</t>
  </si>
  <si>
    <t xml:space="preserve">Key metrics to watch from day one.</t>
  </si>
  <si>
    <t xml:space="preserve">Value</t>
  </si>
  <si>
    <t xml:space="preserve">Target</t>
  </si>
  <si>
    <t xml:space="preserve">Notes</t>
  </si>
  <si>
    <t xml:space="preserve">&gt;35%</t>
  </si>
  <si>
    <t xml:space="preserve">Per order, before CAC</t>
  </si>
  <si>
    <t xml:space="preserve">&lt;2.5x</t>
  </si>
  <si>
    <t xml:space="preserve">Lower is better</t>
  </si>
  <si>
    <t xml:space="preserve">Profit per order after CAC</t>
  </si>
  <si>
    <t xml:space="preserve">&gt;R0</t>
  </si>
  <si>
    <t xml:space="preserve">Must be positive</t>
  </si>
  <si>
    <t xml:space="preserve">Landed cost per unit</t>
  </si>
  <si>
    <t xml:space="preserve">-</t>
  </si>
  <si>
    <t xml:space="preserve">True COGS</t>
  </si>
  <si>
    <t xml:space="preserve">CAC payback (orders)</t>
  </si>
  <si>
    <t xml:space="preserve">1 order</t>
  </si>
  <si>
    <t xml:space="preserve">Single-purchase: pay back on order 1</t>
  </si>
  <si>
    <t xml:space="preserve">Days Inventory Outstanding</t>
  </si>
  <si>
    <t xml:space="preserve">&lt;60</t>
  </si>
  <si>
    <t xml:space="preserve">Freight transit + holding time</t>
  </si>
  <si>
    <t xml:space="preserve">Cash-conversion cycle (days)</t>
  </si>
  <si>
    <t xml:space="preserve">DIO + DSO - DPO</t>
  </si>
  <si>
    <t xml:space="preserve">Cash runway (weeks)</t>
  </si>
  <si>
    <t xml:space="preserve">&gt;12</t>
  </si>
  <si>
    <t xml:space="preserve">Weeks of cash at current burn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</si>
</sst>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"/>
    <numFmt numFmtId="168" formatCode="0.0%"/>
    <numFmt numFmtId="169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i val="true"/>
      <sz val="11"/>
      <color rgb="FFC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DC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6" t="n">
        <v>1000</v>
      </c>
    </row>
    <row r="6" customFormat="false" ht="15" hidden="false" customHeight="true" outlineLevel="0" collapsed="false">
      <c r="A6" s="5" t="s">
        <v>4</v>
      </c>
      <c r="B6" s="7" t="n">
        <v>20</v>
      </c>
      <c r="D6" s="8" t="s">
        <v>5</v>
      </c>
    </row>
    <row r="7" customFormat="false" ht="15" hidden="false" customHeight="true" outlineLevel="0" collapsed="false">
      <c r="A7" s="5" t="s">
        <v>6</v>
      </c>
      <c r="B7" s="9" t="n">
        <v>2.55</v>
      </c>
      <c r="D7" s="8" t="s">
        <v>7</v>
      </c>
    </row>
    <row r="8" customFormat="false" ht="15" hidden="false" customHeight="true" outlineLevel="0" collapsed="false">
      <c r="A8" s="5" t="s">
        <v>8</v>
      </c>
      <c r="B8" s="10" t="n">
        <v>12000</v>
      </c>
      <c r="D8" s="8" t="s">
        <v>9</v>
      </c>
    </row>
    <row r="9" customFormat="false" ht="15" hidden="false" customHeight="true" outlineLevel="0" collapsed="false">
      <c r="A9" s="5" t="s">
        <v>10</v>
      </c>
      <c r="B9" s="11" t="n">
        <v>0.005</v>
      </c>
      <c r="D9" s="8" t="s">
        <v>11</v>
      </c>
    </row>
    <row r="10" customFormat="false" ht="15" hidden="false" customHeight="true" outlineLevel="0" collapsed="false">
      <c r="A10" s="5" t="s">
        <v>12</v>
      </c>
      <c r="B10" s="11" t="n">
        <v>0.2</v>
      </c>
      <c r="D10" s="8" t="s">
        <v>13</v>
      </c>
    </row>
    <row r="11" customFormat="false" ht="15" hidden="false" customHeight="true" outlineLevel="0" collapsed="false">
      <c r="A11" s="5" t="s">
        <v>14</v>
      </c>
      <c r="B11" s="10" t="n">
        <v>2500</v>
      </c>
      <c r="D11" s="8" t="s">
        <v>15</v>
      </c>
    </row>
    <row r="12" customFormat="false" ht="15" hidden="false" customHeight="true" outlineLevel="0" collapsed="false">
      <c r="A12" s="5" t="s">
        <v>16</v>
      </c>
      <c r="B12" s="10" t="n">
        <v>1500</v>
      </c>
    </row>
    <row r="14" customFormat="false" ht="15" hidden="false" customHeight="true" outlineLevel="0" collapsed="false">
      <c r="A14" s="4" t="s">
        <v>17</v>
      </c>
      <c r="B14" s="4"/>
      <c r="C14" s="4"/>
      <c r="D14" s="4"/>
    </row>
    <row r="15" customFormat="false" ht="15" hidden="false" customHeight="true" outlineLevel="0" collapsed="false">
      <c r="A15" s="1" t="s">
        <v>18</v>
      </c>
      <c r="B15" s="12" t="n">
        <f aca="false">B5*B6*B7</f>
        <v>51000</v>
      </c>
    </row>
    <row r="16" customFormat="false" ht="15" hidden="false" customHeight="true" outlineLevel="0" collapsed="false">
      <c r="A16" s="1" t="s">
        <v>19</v>
      </c>
      <c r="B16" s="12" t="n">
        <f aca="false">B8</f>
        <v>12000</v>
      </c>
    </row>
    <row r="17" customFormat="false" ht="15" hidden="false" customHeight="true" outlineLevel="0" collapsed="false">
      <c r="A17" s="1" t="s">
        <v>20</v>
      </c>
      <c r="B17" s="12" t="n">
        <f aca="false">B9*(B15+B16)</f>
        <v>315</v>
      </c>
    </row>
    <row r="18" customFormat="false" ht="15" hidden="false" customHeight="true" outlineLevel="0" collapsed="false">
      <c r="A18" s="1" t="s">
        <v>21</v>
      </c>
      <c r="B18" s="12" t="n">
        <f aca="false">B15+B16+B17</f>
        <v>63315</v>
      </c>
      <c r="D18" s="8" t="s">
        <v>22</v>
      </c>
    </row>
    <row r="19" customFormat="false" ht="15" hidden="false" customHeight="true" outlineLevel="0" collapsed="false">
      <c r="A19" s="1" t="s">
        <v>23</v>
      </c>
      <c r="B19" s="12" t="n">
        <f aca="false">B18*1.1</f>
        <v>69646.5</v>
      </c>
      <c r="D19" s="8" t="s">
        <v>24</v>
      </c>
    </row>
    <row r="20" customFormat="false" ht="15" hidden="false" customHeight="true" outlineLevel="0" collapsed="false">
      <c r="A20" s="1" t="s">
        <v>25</v>
      </c>
      <c r="B20" s="12" t="n">
        <f aca="false">B18*B10</f>
        <v>12663</v>
      </c>
      <c r="D20" s="8" t="s">
        <v>26</v>
      </c>
    </row>
    <row r="21" customFormat="false" ht="15" hidden="false" customHeight="true" outlineLevel="0" collapsed="false">
      <c r="A21" s="1" t="s">
        <v>27</v>
      </c>
      <c r="B21" s="12" t="n">
        <f aca="false">(B19+B20)*0.15</f>
        <v>12346.425</v>
      </c>
      <c r="D21" s="8" t="s">
        <v>28</v>
      </c>
    </row>
    <row r="22" customFormat="false" ht="15" hidden="false" customHeight="true" outlineLevel="0" collapsed="false">
      <c r="A22" s="1" t="s">
        <v>29</v>
      </c>
      <c r="B22" s="12" t="n">
        <f aca="false">B11</f>
        <v>2500</v>
      </c>
    </row>
    <row r="23" customFormat="false" ht="15" hidden="false" customHeight="true" outlineLevel="0" collapsed="false">
      <c r="A23" s="1" t="s">
        <v>30</v>
      </c>
      <c r="B23" s="12" t="n">
        <f aca="false">B12</f>
        <v>1500</v>
      </c>
    </row>
    <row r="24" customFormat="false" ht="15" hidden="false" customHeight="true" outlineLevel="0" collapsed="false">
      <c r="A24" s="13" t="s">
        <v>31</v>
      </c>
      <c r="B24" s="14" t="n">
        <f aca="false">B15+B16+B17+B20+B21+B22+B23</f>
        <v>92324.425</v>
      </c>
    </row>
    <row r="25" customFormat="false" ht="15" hidden="false" customHeight="true" outlineLevel="0" collapsed="false">
      <c r="A25" s="13" t="s">
        <v>32</v>
      </c>
      <c r="B25" s="15" t="n">
        <f aca="false">B24/B5</f>
        <v>92.324425</v>
      </c>
      <c r="D25" s="8" t="s">
        <v>33</v>
      </c>
    </row>
    <row r="28" customFormat="false" ht="15" hidden="false" customHeight="true" outlineLevel="0" collapsed="false">
      <c r="A28" s="16" t="s">
        <v>34</v>
      </c>
      <c r="B28" s="16"/>
      <c r="C28" s="16"/>
      <c r="D28" s="16"/>
    </row>
  </sheetData>
  <mergeCells count="5">
    <mergeCell ref="A1:D1"/>
    <mergeCell ref="A2:D2"/>
    <mergeCell ref="A4:D4"/>
    <mergeCell ref="A14:D14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24" hidden="false" customHeight="true" outlineLevel="0" collapsed="false">
      <c r="A1" s="2" t="s">
        <v>35</v>
      </c>
      <c r="B1" s="2"/>
      <c r="C1" s="2"/>
      <c r="D1" s="2"/>
    </row>
    <row r="2" customFormat="false" ht="15" hidden="false" customHeight="true" outlineLevel="0" collapsed="false">
      <c r="A2" s="3" t="s">
        <v>36</v>
      </c>
      <c r="B2" s="3"/>
      <c r="C2" s="3"/>
      <c r="D2" s="3"/>
    </row>
    <row r="4" customFormat="false" ht="15" hidden="false" customHeight="true" outlineLevel="0" collapsed="false">
      <c r="A4" s="4" t="s">
        <v>37</v>
      </c>
      <c r="B4" s="4"/>
      <c r="C4" s="4"/>
      <c r="D4" s="4"/>
    </row>
    <row r="5" customFormat="false" ht="15" hidden="false" customHeight="true" outlineLevel="0" collapsed="false">
      <c r="A5" s="5" t="s">
        <v>38</v>
      </c>
      <c r="B5" s="10" t="n">
        <v>249</v>
      </c>
    </row>
    <row r="6" customFormat="false" ht="15" hidden="false" customHeight="true" outlineLevel="0" collapsed="false">
      <c r="A6" s="5" t="s">
        <v>39</v>
      </c>
      <c r="B6" s="17" t="n">
        <f aca="false">'Landed Cost'!B25</f>
        <v>92.324425</v>
      </c>
      <c r="D6" s="8" t="s">
        <v>40</v>
      </c>
    </row>
    <row r="7" customFormat="false" ht="15" hidden="false" customHeight="true" outlineLevel="0" collapsed="false">
      <c r="A7" s="5" t="s">
        <v>41</v>
      </c>
      <c r="B7" s="10" t="n">
        <v>60</v>
      </c>
      <c r="D7" s="8" t="s">
        <v>42</v>
      </c>
    </row>
    <row r="8" customFormat="false" ht="15" hidden="false" customHeight="true" outlineLevel="0" collapsed="false">
      <c r="A8" s="5" t="s">
        <v>43</v>
      </c>
      <c r="B8" s="11" t="n">
        <v>0.032</v>
      </c>
      <c r="D8" s="8" t="s">
        <v>44</v>
      </c>
    </row>
    <row r="9" customFormat="false" ht="15" hidden="false" customHeight="true" outlineLevel="0" collapsed="false">
      <c r="A9" s="5" t="s">
        <v>45</v>
      </c>
      <c r="B9" s="10" t="n">
        <v>2</v>
      </c>
      <c r="D9" s="8" t="s">
        <v>46</v>
      </c>
    </row>
    <row r="10" customFormat="false" ht="15" hidden="false" customHeight="true" outlineLevel="0" collapsed="false">
      <c r="A10" s="5" t="s">
        <v>47</v>
      </c>
      <c r="B10" s="10" t="n">
        <v>8</v>
      </c>
    </row>
    <row r="11" customFormat="false" ht="15" hidden="false" customHeight="true" outlineLevel="0" collapsed="false">
      <c r="A11" s="5" t="s">
        <v>48</v>
      </c>
      <c r="B11" s="11" t="n">
        <v>0.03</v>
      </c>
    </row>
    <row r="12" customFormat="false" ht="15" hidden="false" customHeight="true" outlineLevel="0" collapsed="false">
      <c r="A12" s="5" t="s">
        <v>49</v>
      </c>
      <c r="B12" s="10" t="n">
        <v>90</v>
      </c>
      <c r="D12" s="8" t="s">
        <v>50</v>
      </c>
    </row>
    <row r="14" customFormat="false" ht="15" hidden="false" customHeight="true" outlineLevel="0" collapsed="false">
      <c r="A14" s="4" t="s">
        <v>51</v>
      </c>
      <c r="B14" s="4"/>
      <c r="C14" s="4"/>
      <c r="D14" s="4"/>
    </row>
    <row r="15" customFormat="false" ht="15" hidden="false" customHeight="true" outlineLevel="0" collapsed="false">
      <c r="A15" s="1" t="s">
        <v>52</v>
      </c>
      <c r="B15" s="12" t="n">
        <f aca="false">B5*B8+B9</f>
        <v>9.968</v>
      </c>
    </row>
    <row r="16" customFormat="false" ht="15" hidden="false" customHeight="true" outlineLevel="0" collapsed="false">
      <c r="A16" s="1" t="s">
        <v>53</v>
      </c>
      <c r="B16" s="12" t="n">
        <f aca="false">B5*B11</f>
        <v>7.47</v>
      </c>
    </row>
    <row r="17" customFormat="false" ht="15" hidden="false" customHeight="true" outlineLevel="0" collapsed="false">
      <c r="A17" s="1" t="s">
        <v>54</v>
      </c>
      <c r="B17" s="12" t="n">
        <f aca="false">B6+B7+B15+B10+B16</f>
        <v>177.762425</v>
      </c>
      <c r="D17" s="8" t="s">
        <v>55</v>
      </c>
    </row>
    <row r="18" customFormat="false" ht="15" hidden="false" customHeight="true" outlineLevel="0" collapsed="false">
      <c r="A18" s="13" t="s">
        <v>56</v>
      </c>
      <c r="B18" s="14" t="n">
        <f aca="false">B5-B17</f>
        <v>71.237575</v>
      </c>
      <c r="D18" s="8" t="s">
        <v>57</v>
      </c>
    </row>
    <row r="19" customFormat="false" ht="15" hidden="false" customHeight="true" outlineLevel="0" collapsed="false">
      <c r="A19" s="13" t="s">
        <v>58</v>
      </c>
      <c r="B19" s="18" t="n">
        <f aca="false">B18/B5</f>
        <v>0.286094678714859</v>
      </c>
      <c r="D19" s="8" t="s">
        <v>59</v>
      </c>
    </row>
    <row r="20" customFormat="false" ht="15" hidden="false" customHeight="true" outlineLevel="0" collapsed="false">
      <c r="A20" s="1" t="s">
        <v>60</v>
      </c>
      <c r="B20" s="19" t="n">
        <f aca="false">1/B19</f>
        <v>3.4953463814567</v>
      </c>
      <c r="D20" s="8" t="s">
        <v>61</v>
      </c>
    </row>
    <row r="21" customFormat="false" ht="15" hidden="false" customHeight="true" outlineLevel="0" collapsed="false">
      <c r="A21" s="13" t="s">
        <v>62</v>
      </c>
      <c r="B21" s="14" t="n">
        <f aca="false">B18-B12</f>
        <v>-18.762425</v>
      </c>
      <c r="D21" s="8" t="s">
        <v>63</v>
      </c>
    </row>
    <row r="22" customFormat="false" ht="15" hidden="false" customHeight="true" outlineLevel="0" collapsed="false">
      <c r="A22" s="1" t="s">
        <v>64</v>
      </c>
      <c r="B22" s="20" t="n">
        <f aca="false">B21/B5</f>
        <v>-0.0753511044176707</v>
      </c>
    </row>
  </sheetData>
  <mergeCells count="4">
    <mergeCell ref="A1:D1"/>
    <mergeCell ref="A2:D2"/>
    <mergeCell ref="A4:D4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5"/>
  </cols>
  <sheetData>
    <row r="1" customFormat="false" ht="24" hidden="false" customHeight="true" outlineLevel="0" collapsed="false">
      <c r="A1" s="2" t="s">
        <v>65</v>
      </c>
      <c r="B1" s="2"/>
      <c r="C1" s="2"/>
      <c r="D1" s="2"/>
    </row>
    <row r="2" customFormat="false" ht="15" hidden="false" customHeight="true" outlineLevel="0" collapsed="false">
      <c r="A2" s="3" t="s">
        <v>66</v>
      </c>
      <c r="B2" s="3"/>
      <c r="C2" s="3"/>
      <c r="D2" s="3"/>
    </row>
    <row r="4" customFormat="false" ht="15" hidden="false" customHeight="true" outlineLevel="0" collapsed="false">
      <c r="B4" s="21" t="s">
        <v>67</v>
      </c>
      <c r="C4" s="21" t="s">
        <v>68</v>
      </c>
      <c r="D4" s="21" t="s">
        <v>69</v>
      </c>
    </row>
    <row r="5" customFormat="false" ht="15" hidden="false" customHeight="true" outlineLevel="0" collapsed="false">
      <c r="A5" s="5" t="s">
        <v>70</v>
      </c>
      <c r="B5" s="6" t="n">
        <v>120</v>
      </c>
      <c r="C5" s="6" t="n">
        <v>0</v>
      </c>
      <c r="D5" s="6" t="n">
        <v>0</v>
      </c>
    </row>
    <row r="6" customFormat="false" ht="15" hidden="false" customHeight="true" outlineLevel="0" collapsed="false">
      <c r="A6" s="5" t="s">
        <v>71</v>
      </c>
      <c r="B6" s="10" t="n">
        <v>29880</v>
      </c>
      <c r="C6" s="10" t="n">
        <v>0</v>
      </c>
      <c r="D6" s="10" t="n">
        <v>0</v>
      </c>
    </row>
    <row r="7" customFormat="false" ht="15" hidden="false" customHeight="true" outlineLevel="0" collapsed="false">
      <c r="A7" s="5" t="s">
        <v>72</v>
      </c>
      <c r="B7" s="10" t="n">
        <v>1052</v>
      </c>
      <c r="C7" s="10" t="n">
        <v>0</v>
      </c>
      <c r="D7" s="10" t="n">
        <v>0</v>
      </c>
    </row>
    <row r="8" customFormat="false" ht="15" hidden="false" customHeight="true" outlineLevel="0" collapsed="false">
      <c r="A8" s="22" t="s">
        <v>73</v>
      </c>
      <c r="B8" s="14" t="n">
        <f aca="false">B6-B7</f>
        <v>28828</v>
      </c>
      <c r="C8" s="14" t="n">
        <f aca="false">C6-C7</f>
        <v>0</v>
      </c>
      <c r="D8" s="14" t="n">
        <f aca="false">D6-D7</f>
        <v>0</v>
      </c>
    </row>
    <row r="9" customFormat="false" ht="15" hidden="false" customHeight="true" outlineLevel="0" collapsed="false">
      <c r="A9" s="5" t="s">
        <v>74</v>
      </c>
      <c r="B9" s="10" t="n">
        <v>12600</v>
      </c>
      <c r="C9" s="10" t="n">
        <v>0</v>
      </c>
      <c r="D9" s="10" t="n">
        <v>0</v>
      </c>
    </row>
    <row r="10" customFormat="false" ht="15" hidden="false" customHeight="true" outlineLevel="0" collapsed="false">
      <c r="A10" s="22" t="s">
        <v>75</v>
      </c>
      <c r="B10" s="14" t="n">
        <f aca="false">B8-B9</f>
        <v>16228</v>
      </c>
      <c r="C10" s="14" t="n">
        <f aca="false">C8-C9</f>
        <v>0</v>
      </c>
      <c r="D10" s="14" t="n">
        <f aca="false">D8-D9</f>
        <v>0</v>
      </c>
    </row>
    <row r="11" customFormat="false" ht="15" hidden="false" customHeight="true" outlineLevel="0" collapsed="false">
      <c r="A11" s="5" t="s">
        <v>76</v>
      </c>
      <c r="B11" s="20" t="n">
        <f aca="false">IFERROR(B10/B6,0)</f>
        <v>0.543105756358769</v>
      </c>
      <c r="C11" s="20" t="n">
        <f aca="false">IFERROR(C10/C6,0)</f>
        <v>0</v>
      </c>
      <c r="D11" s="20" t="n">
        <f aca="false">IFERROR(D10/D6,0)</f>
        <v>0</v>
      </c>
    </row>
    <row r="12" customFormat="false" ht="15" hidden="false" customHeight="true" outlineLevel="0" collapsed="false">
      <c r="A12" s="5" t="s">
        <v>77</v>
      </c>
      <c r="B12" s="10" t="n">
        <v>7200</v>
      </c>
      <c r="C12" s="10" t="n">
        <v>0</v>
      </c>
      <c r="D12" s="10" t="n">
        <v>0</v>
      </c>
    </row>
    <row r="13" customFormat="false" ht="15" hidden="false" customHeight="true" outlineLevel="0" collapsed="false">
      <c r="A13" s="5" t="s">
        <v>78</v>
      </c>
      <c r="B13" s="10" t="n">
        <v>960</v>
      </c>
      <c r="C13" s="10" t="n">
        <v>0</v>
      </c>
      <c r="D13" s="10" t="n">
        <v>0</v>
      </c>
    </row>
    <row r="14" customFormat="false" ht="15" hidden="false" customHeight="true" outlineLevel="0" collapsed="false">
      <c r="A14" s="5" t="s">
        <v>79</v>
      </c>
      <c r="B14" s="10" t="n">
        <v>10800</v>
      </c>
      <c r="C14" s="10" t="n">
        <v>0</v>
      </c>
      <c r="D14" s="10" t="n">
        <v>0</v>
      </c>
    </row>
    <row r="15" customFormat="false" ht="15" hidden="false" customHeight="true" outlineLevel="0" collapsed="false">
      <c r="A15" s="5" t="s">
        <v>80</v>
      </c>
      <c r="B15" s="10" t="n">
        <v>1095</v>
      </c>
      <c r="C15" s="10" t="n">
        <v>0</v>
      </c>
      <c r="D15" s="10" t="n">
        <v>0</v>
      </c>
    </row>
    <row r="16" customFormat="false" ht="15" hidden="false" customHeight="true" outlineLevel="0" collapsed="false">
      <c r="A16" s="5" t="s">
        <v>81</v>
      </c>
      <c r="B16" s="10" t="n">
        <v>0</v>
      </c>
      <c r="C16" s="10" t="n">
        <v>0</v>
      </c>
      <c r="D16" s="10" t="n">
        <v>0</v>
      </c>
    </row>
    <row r="17" customFormat="false" ht="15" hidden="false" customHeight="true" outlineLevel="0" collapsed="false">
      <c r="A17" s="22" t="s">
        <v>82</v>
      </c>
      <c r="B17" s="14" t="n">
        <f aca="false">B10-B12-B13-B14-B15-B16</f>
        <v>-3827</v>
      </c>
      <c r="C17" s="14" t="n">
        <f aca="false">C10-C12-C13-C14-C15-C16</f>
        <v>0</v>
      </c>
      <c r="D17" s="14" t="n">
        <f aca="false">D10-D12-D13-D14-D15-D16</f>
        <v>0</v>
      </c>
    </row>
    <row r="18" customFormat="false" ht="15" hidden="false" customHeight="true" outlineLevel="0" collapsed="false">
      <c r="A18" s="5" t="s">
        <v>83</v>
      </c>
      <c r="B18" s="20" t="n">
        <f aca="false">IFERROR(B17/B6,0)</f>
        <v>-0.128078982597055</v>
      </c>
      <c r="C18" s="20" t="n">
        <f aca="false">IFERROR(C17/C6,0)</f>
        <v>0</v>
      </c>
      <c r="D18" s="20" t="n">
        <f aca="false">IFERROR(D17/D6,0)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  <col collapsed="false" customWidth="true" hidden="false" outlineLevel="0" max="4" min="4" style="1" width="34"/>
  </cols>
  <sheetData>
    <row r="1" customFormat="false" ht="24" hidden="false" customHeight="true" outlineLevel="0" collapsed="false">
      <c r="A1" s="2" t="s">
        <v>84</v>
      </c>
      <c r="B1" s="2"/>
      <c r="C1" s="2"/>
      <c r="D1" s="2"/>
    </row>
    <row r="2" customFormat="false" ht="15" hidden="false" customHeight="true" outlineLevel="0" collapsed="false">
      <c r="A2" s="3" t="s">
        <v>85</v>
      </c>
      <c r="B2" s="3"/>
      <c r="C2" s="3"/>
      <c r="D2" s="3"/>
    </row>
    <row r="4" customFormat="false" ht="15" hidden="false" customHeight="true" outlineLevel="0" collapsed="false">
      <c r="B4" s="23" t="s">
        <v>86</v>
      </c>
      <c r="C4" s="23" t="s">
        <v>87</v>
      </c>
      <c r="D4" s="23" t="s">
        <v>88</v>
      </c>
    </row>
    <row r="5" customFormat="false" ht="15" hidden="false" customHeight="true" outlineLevel="0" collapsed="false">
      <c r="A5" s="5" t="s">
        <v>58</v>
      </c>
      <c r="B5" s="24" t="n">
        <f aca="false">'Unit Economics'!B19</f>
        <v>0.286094678714859</v>
      </c>
      <c r="C5" s="25" t="s">
        <v>89</v>
      </c>
      <c r="D5" s="8" t="s">
        <v>90</v>
      </c>
    </row>
    <row r="6" customFormat="false" ht="15" hidden="false" customHeight="true" outlineLevel="0" collapsed="false">
      <c r="A6" s="5" t="s">
        <v>60</v>
      </c>
      <c r="B6" s="26" t="n">
        <f aca="false">'Unit Economics'!B20</f>
        <v>3.4953463814567</v>
      </c>
      <c r="C6" s="25" t="s">
        <v>91</v>
      </c>
      <c r="D6" s="8" t="s">
        <v>92</v>
      </c>
    </row>
    <row r="7" customFormat="false" ht="15" hidden="false" customHeight="true" outlineLevel="0" collapsed="false">
      <c r="A7" s="5" t="s">
        <v>93</v>
      </c>
      <c r="B7" s="17" t="n">
        <f aca="false">'Unit Economics'!B21</f>
        <v>-18.762425</v>
      </c>
      <c r="C7" s="25" t="s">
        <v>94</v>
      </c>
      <c r="D7" s="8" t="s">
        <v>95</v>
      </c>
    </row>
    <row r="8" customFormat="false" ht="15" hidden="false" customHeight="true" outlineLevel="0" collapsed="false">
      <c r="A8" s="5" t="s">
        <v>96</v>
      </c>
      <c r="B8" s="17" t="n">
        <f aca="false">'Landed Cost'!B25</f>
        <v>92.324425</v>
      </c>
      <c r="C8" s="25" t="s">
        <v>97</v>
      </c>
      <c r="D8" s="8" t="s">
        <v>98</v>
      </c>
    </row>
    <row r="9" customFormat="false" ht="15" hidden="false" customHeight="true" outlineLevel="0" collapsed="false">
      <c r="A9" s="5" t="s">
        <v>99</v>
      </c>
      <c r="B9" s="6" t="n">
        <v>1</v>
      </c>
      <c r="C9" s="25" t="s">
        <v>100</v>
      </c>
      <c r="D9" s="8" t="s">
        <v>101</v>
      </c>
    </row>
    <row r="10" customFormat="false" ht="15" hidden="false" customHeight="true" outlineLevel="0" collapsed="false">
      <c r="A10" s="5" t="s">
        <v>102</v>
      </c>
      <c r="B10" s="6" t="n">
        <v>45</v>
      </c>
      <c r="C10" s="25" t="s">
        <v>103</v>
      </c>
      <c r="D10" s="8" t="s">
        <v>104</v>
      </c>
    </row>
    <row r="11" customFormat="false" ht="15" hidden="false" customHeight="true" outlineLevel="0" collapsed="false">
      <c r="A11" s="5" t="s">
        <v>105</v>
      </c>
      <c r="B11" s="27" t="n">
        <f aca="false">B10</f>
        <v>45</v>
      </c>
      <c r="C11" s="25" t="s">
        <v>103</v>
      </c>
      <c r="D11" s="8" t="s">
        <v>106</v>
      </c>
    </row>
    <row r="12" customFormat="false" ht="15" hidden="false" customHeight="true" outlineLevel="0" collapsed="false">
      <c r="A12" s="5" t="s">
        <v>107</v>
      </c>
      <c r="B12" s="6" t="n">
        <v>8</v>
      </c>
      <c r="C12" s="25" t="s">
        <v>108</v>
      </c>
      <c r="D12" s="8" t="s">
        <v>109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2026-05-31T14:30:17Z</dcterms:created>
  <dc:creator>openpyxl</dc:creator>
  <dc:description/>
  <dc:language>en-US</dc:language>
  <cp:lastModifiedBy/>
  <dcterms:modified xsi:type="dcterms:W3CDTF">2026-05-31T14:30:52Z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